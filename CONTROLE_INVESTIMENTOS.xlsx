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26\Desktop\"/>
    </mc:Choice>
  </mc:AlternateContent>
  <xr:revisionPtr revIDLastSave="0" documentId="13_ncr:1_{7ADC736E-CE36-44DC-912E-FB888FCDA28A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base" sheetId="1" r:id="rId1"/>
    <sheet name="tbl_FII" sheetId="2" r:id="rId2"/>
  </sheets>
  <definedNames>
    <definedName name="aporte">base!$D$16</definedName>
    <definedName name="patrimonio">base!$D$19</definedName>
    <definedName name="qtd_anos">base!$D$17</definedName>
    <definedName name="rendimento_carteira">base!$D$12</definedName>
    <definedName name="salario">base!$D$11</definedName>
    <definedName name="sugestao_investimento">base!$D$13</definedName>
    <definedName name="taxa_mensal">base!$D$18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2" i="1"/>
  <c r="D13" i="1"/>
  <c r="B15" i="2"/>
  <c r="B16" i="2"/>
  <c r="B17" i="2"/>
  <c r="B18" i="2"/>
  <c r="B19" i="2"/>
  <c r="B20" i="2"/>
  <c r="B3" i="2"/>
  <c r="B4" i="2"/>
  <c r="B5" i="2"/>
  <c r="B6" i="2"/>
  <c r="B7" i="2"/>
  <c r="B8" i="2"/>
  <c r="B10" i="2"/>
  <c r="C36" i="1" s="1"/>
  <c r="B11" i="2"/>
  <c r="B12" i="2"/>
  <c r="B13" i="2"/>
  <c r="B14" i="2"/>
  <c r="B9" i="2"/>
  <c r="D19" i="1"/>
  <c r="D20" i="1" s="1"/>
  <c r="C26" i="1"/>
  <c r="D26" i="1" s="1"/>
  <c r="C25" i="1"/>
  <c r="D25" i="1" s="1"/>
  <c r="C24" i="1"/>
  <c r="D24" i="1" s="1"/>
  <c r="C27" i="1"/>
  <c r="D27" i="1" s="1"/>
  <c r="C23" i="1"/>
  <c r="D23" i="1" s="1"/>
  <c r="I4" i="2" l="1"/>
  <c r="C40" i="1"/>
  <c r="D40" i="1" s="1"/>
  <c r="C39" i="1"/>
  <c r="D39" i="1" s="1"/>
  <c r="C38" i="1"/>
  <c r="D38" i="1" s="1"/>
  <c r="C37" i="1"/>
  <c r="D37" i="1" s="1"/>
  <c r="D36" i="1"/>
  <c r="D41" i="1" l="1"/>
</calcChain>
</file>

<file path=xl/sharedStrings.xml><?xml version="1.0" encoding="utf-8"?>
<sst xmlns="http://schemas.openxmlformats.org/spreadsheetml/2006/main" count="72" uniqueCount="35">
  <si>
    <t>INVESTIMENTO MENSAL</t>
  </si>
  <si>
    <t xml:space="preserve"> Cenários</t>
  </si>
  <si>
    <t>Dividendo</t>
  </si>
  <si>
    <t>Rendimento Carteira</t>
  </si>
  <si>
    <t>Salário</t>
  </si>
  <si>
    <t>Conservador</t>
  </si>
  <si>
    <t>Moderado</t>
  </si>
  <si>
    <t>Agressivo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</si>
  <si>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</si>
  <si>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</si>
  <si>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</si>
  <si>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</si>
  <si>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</si>
  <si>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</si>
  <si>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</si>
  <si>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</si>
  <si>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</si>
  <si>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</si>
  <si>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</si>
  <si>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</si>
  <si>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</si>
  <si>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</si>
  <si>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>Investimento Mensal</t>
  </si>
  <si>
    <t>Taxa de Rendimento Anual</t>
  </si>
  <si>
    <t>Patrimônio Acumulado</t>
  </si>
  <si>
    <t>Dividendos Mensais</t>
  </si>
  <si>
    <t>2 Anos</t>
  </si>
  <si>
    <t>5 Anos</t>
  </si>
  <si>
    <t>10 Anos</t>
  </si>
  <si>
    <t>20 Anos</t>
  </si>
  <si>
    <t>30 Anos</t>
  </si>
  <si>
    <t>VALOR A SER INVESTIDO MENSALMENTE</t>
  </si>
  <si>
    <t>PARÂMETROS</t>
  </si>
  <si>
    <t>Selecione o perfil do investidor</t>
  </si>
  <si>
    <t>Investimento Anual em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</si>
</sst>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5">
    <xf numFmtId="0" fontId="0" fillId="0" borderId="0" xfId="0"/>
    <xf numFmtId="0" fontId="4" fillId="0" borderId="0" xfId="0" applyFont="1"/>
    <xf numFmtId="9" fontId="0" fillId="0" borderId="0" xfId="0" applyNumberFormat="1"/>
    <xf numFmtId="0" fontId="3" fillId="3" borderId="0" xfId="0" applyFont="1" applyFill="1"/>
    <xf numFmtId="164" fontId="3" fillId="3" borderId="0" xfId="1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0" xfId="3" applyFont="1" applyFill="1"/>
    <xf numFmtId="0" fontId="5" fillId="5" borderId="1" xfId="0" applyFont="1" applyFill="1" applyBorder="1" applyAlignment="1">
      <alignment horizontal="center" vertical="center"/>
    </xf>
    <xf numFmtId="164" fontId="6" fillId="0" borderId="15" xfId="1" applyNumberFormat="1" applyFont="1" applyFill="1" applyBorder="1" applyAlignment="1">
      <alignment horizontal="center"/>
    </xf>
    <xf numFmtId="10" fontId="6" fillId="0" borderId="18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0" fontId="7" fillId="0" borderId="13" xfId="0" applyFont="1" applyBorder="1" applyAlignment="1">
      <alignment horizontal="left" indent="3"/>
    </xf>
    <xf numFmtId="164" fontId="6" fillId="0" borderId="15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8" fontId="6" fillId="0" borderId="18" xfId="0" applyNumberFormat="1" applyFont="1" applyBorder="1" applyAlignment="1">
      <alignment horizontal="center"/>
    </xf>
    <xf numFmtId="8" fontId="6" fillId="0" borderId="21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 indent="3"/>
    </xf>
    <xf numFmtId="0" fontId="7" fillId="0" borderId="7" xfId="0" applyFont="1" applyBorder="1" applyAlignment="1">
      <alignment horizontal="left" indent="3"/>
    </xf>
    <xf numFmtId="0" fontId="7" fillId="0" borderId="10" xfId="0" applyFont="1" applyBorder="1" applyAlignment="1">
      <alignment horizontal="left" indent="3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8" fillId="5" borderId="0" xfId="2" applyFont="1" applyFill="1"/>
    <xf numFmtId="44" fontId="8" fillId="5" borderId="0" xfId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indent="3"/>
    </xf>
    <xf numFmtId="0" fontId="7" fillId="0" borderId="14" xfId="0" applyFont="1" applyBorder="1" applyAlignment="1">
      <alignment horizontal="left" indent="3"/>
    </xf>
    <xf numFmtId="0" fontId="7" fillId="0" borderId="16" xfId="0" applyFont="1" applyBorder="1" applyAlignment="1">
      <alignment horizontal="left" indent="3"/>
    </xf>
    <xf numFmtId="0" fontId="7" fillId="0" borderId="17" xfId="0" applyFont="1" applyBorder="1" applyAlignment="1">
      <alignment horizontal="left" indent="3"/>
    </xf>
    <xf numFmtId="0" fontId="7" fillId="0" borderId="19" xfId="0" applyFont="1" applyBorder="1" applyAlignment="1">
      <alignment horizontal="left" indent="3"/>
    </xf>
    <xf numFmtId="0" fontId="7" fillId="0" borderId="20" xfId="0" applyFont="1" applyBorder="1" applyAlignment="1">
      <alignment horizontal="left" indent="3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44" fontId="9" fillId="0" borderId="13" xfId="1" applyFont="1" applyFill="1" applyBorder="1" applyAlignment="1">
      <alignment horizontal="left" indent="3"/>
    </xf>
    <xf numFmtId="0" fontId="0" fillId="0" borderId="0" xfId="0" applyFill="1"/>
    <xf numFmtId="0" fontId="10" fillId="0" borderId="0" xfId="0" applyFont="1" applyAlignment="1">
      <alignment horizontal="center"/>
    </xf>
    <xf numFmtId="9" fontId="9" fillId="0" borderId="13" xfId="2" applyFont="1" applyFill="1" applyBorder="1" applyAlignment="1">
      <alignment horizontal="center"/>
    </xf>
    <xf numFmtId="0" fontId="5" fillId="9" borderId="2" xfId="0" applyFont="1" applyFill="1" applyBorder="1" applyAlignment="1">
      <alignment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4"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D700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Percentual Sugerido Por</a:t>
            </a:r>
            <a:r>
              <a:rPr lang="pt-BR" baseline="0"/>
              <a:t> Tipo de FII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base!$C$34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F6-4CEF-A42F-1810F2E428F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F6-4CEF-A42F-1810F2E428F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F6-4CEF-A42F-1810F2E428F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F6-4CEF-A42F-1810F2E428F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F6-4CEF-A42F-1810F2E428F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9F6-4CEF-A42F-1810F2E42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base!$C$35:$C$40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F6-4CEF-A42F-1810F2E42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Dividendos por Cenários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base!$D$22</c:f>
              <c:strCache>
                <c:ptCount val="1"/>
                <c:pt idx="0">
                  <c:v>Dividendo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base!$C$23:$C$27</c:f>
              <c:numCache>
                <c:formatCode>"R$"\ #,##0.00</c:formatCode>
                <c:ptCount val="5"/>
                <c:pt idx="0">
                  <c:v>9529.6695541758254</c:v>
                </c:pt>
                <c:pt idx="1">
                  <c:v>29321.919899470675</c:v>
                </c:pt>
                <c:pt idx="2">
                  <c:v>85149.474385560272</c:v>
                </c:pt>
                <c:pt idx="3">
                  <c:v>393819.4400339782</c:v>
                </c:pt>
                <c:pt idx="4">
                  <c:v>1512759.3792516501</c:v>
                </c:pt>
              </c:numCache>
            </c:numRef>
          </c:xVal>
          <c:yVal>
            <c:numRef>
              <c:f>base!$D$23:$D$27</c:f>
              <c:numCache>
                <c:formatCode>"R$"\ #,##0.00</c:formatCode>
                <c:ptCount val="5"/>
                <c:pt idx="0">
                  <c:v>76.237356433406603</c:v>
                </c:pt>
                <c:pt idx="1">
                  <c:v>234.5753591957654</c:v>
                </c:pt>
                <c:pt idx="2">
                  <c:v>681.19579508448214</c:v>
                </c:pt>
                <c:pt idx="3">
                  <c:v>3150.5555202718256</c:v>
                </c:pt>
                <c:pt idx="4">
                  <c:v>12102.0750340132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5-49AF-98ED-AEB9CAA2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91247"/>
        <c:axId val="1230886447"/>
      </c:scatterChart>
      <c:valAx>
        <c:axId val="123089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886447"/>
        <c:crosses val="autoZero"/>
        <c:crossBetween val="midCat"/>
      </c:valAx>
      <c:valAx>
        <c:axId val="123088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089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118533</xdr:colOff>
      <xdr:row>0</xdr:row>
      <xdr:rowOff>0</xdr:rowOff>
    </xdr:from>
    <xdr:to>
      <xdr:col>2</xdr:col>
      <xdr:colOff>1698791</xdr:colOff>
      <xdr:row>8</xdr:row>
      <xdr:rowOff>101601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57638DC-0FA9-A5A3-288A-68FB8DD0C0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76" t="23201" r="7733" b="28238"/>
        <a:stretch>
          <a:fillRect/>
        </a:stretch>
      </xdr:blipFill>
      <xdr:spPr>
        <a:xfrm>
          <a:off x="118533" y="0"/>
          <a:ext cx="4306525" cy="1591734"/>
        </a:xfrm>
        <a:prstGeom prst="rect">
          <a:avLst/>
        </a:prstGeom>
      </xdr:spPr>
    </xdr:pic>
    <xdr:clientData/>
  </xdr:twoCellAnchor>
  <xdr:twoCellAnchor>
    <xdr:from>
      <xdr:col>1</xdr:col>
      <xdr:colOff>50800</xdr:colOff>
      <xdr:row>41</xdr:row>
      <xdr:rowOff>169332</xdr:rowOff>
    </xdr:from>
    <xdr:to>
      <xdr:col>2</xdr:col>
      <xdr:colOff>1608665</xdr:colOff>
      <xdr:row>57</xdr:row>
      <xdr:rowOff>25400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7B4EBA-CD3E-4C10-B1DE-DCDEFD994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50801</xdr:colOff>
      <xdr:row>57</xdr:row>
      <xdr:rowOff>177800</xdr:rowOff>
    </xdr:from>
    <xdr:to>
      <xdr:col>2</xdr:col>
      <xdr:colOff>1610334</xdr:colOff>
      <xdr:row>73</xdr:row>
      <xdr:rowOff>34333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576F9B9-926B-EFD3-8B38-848C89BCB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339A1-E93A-4162-9351-FBAB006473B7}" name="tbl_FII" displayName="tbl_FII" ref="B2:E20" totalsRowShown="0">
  <autoFilter ref="B2:E20" xr:uid="{5A0339A1-E93A-4162-9351-FBAB006473B7}"/>
  <sortState xmlns:xlrd2="http://schemas.microsoft.com/office/spreadsheetml/2017/richdata2" ref="B3:E20">
    <sortCondition ref="C2:C20"/>
  </sortState>
  <tableColumns count="4">
    <tableColumn id="1" xr3:uid="{5A451B0F-9F77-4A7F-8667-0EFEBB12C860}" name="CHAVE" dataDxfId="3">
      <calculatedColumnFormula>C3&amp;"-"&amp;D3</calculatedColumnFormula>
    </tableColumn>
    <tableColumn id="2" xr3:uid="{9FE65988-5623-4E54-A4C6-A4466FFFF5B6}" name="PERFIL" dataDxfId="2"/>
    <tableColumn id="3" xr3:uid="{9C7351F6-DC41-477D-8BEF-EA6AFB247699}" name="TIPO DE FII" dataDxfId="1"/>
    <tableColumn id="4" xr3:uid="{F07A02E5-F47D-4729-A0FD-C5EFD5461895}" name="%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9:K41"/>
  <sheetViews>
    <sheetView showGridLines="0" tabSelected="1" zoomScale="90" zoomScaleNormal="90" workbookViewId="0">
      <selection activeCell="D44" sqref="D44"/>
    </sheetView>
  </sheetViews>
  <sheetFormatPr defaultColWidth="0" defaultRowHeight="14.4" x14ac:dyDescent="0.3"/>
  <cols>
    <col min="1" max="1" width="3.33203125" bestFit="1" customWidth="1"/>
    <col min="2" max="2" width="36.44140625" bestFit="1" customWidth="1"/>
    <col min="3" max="3" width="32.77734375" bestFit="1" customWidth="1"/>
    <col min="4" max="4" width="17.21875" bestFit="1" customWidth="1"/>
    <col min="5" max="5" width="6.33203125" customWidth="1"/>
    <col min="6" max="8" width="6.33203125" hidden="1" customWidth="1"/>
    <col min="9" max="9" width="36.44140625" hidden="1" customWidth="1"/>
    <col min="10" max="10" width="18.88671875" hidden="1" customWidth="1"/>
    <col min="11" max="11" width="15.21875" hidden="1" customWidth="1"/>
    <col min="12" max="16384" width="6.33203125" hidden="1"/>
  </cols>
  <sheetData>
    <row r="9" spans="2:4" ht="15" thickBot="1" x14ac:dyDescent="0.35"/>
    <row r="10" spans="2:4" ht="27" x14ac:dyDescent="0.3">
      <c r="B10" s="46" t="s">
        <v>32</v>
      </c>
      <c r="C10" s="47"/>
      <c r="D10" s="48"/>
    </row>
    <row r="11" spans="2:4" ht="19.2" x14ac:dyDescent="0.45">
      <c r="B11" s="40" t="s">
        <v>4</v>
      </c>
      <c r="C11" s="41"/>
      <c r="D11" s="8">
        <v>1500</v>
      </c>
    </row>
    <row r="12" spans="2:4" ht="19.2" x14ac:dyDescent="0.45">
      <c r="B12" s="42" t="s">
        <v>3</v>
      </c>
      <c r="C12" s="43"/>
      <c r="D12" s="9">
        <v>8.0000000000000002E-3</v>
      </c>
    </row>
    <row r="13" spans="2:4" ht="19.8" thickBot="1" x14ac:dyDescent="0.5">
      <c r="B13" s="44" t="s">
        <v>21</v>
      </c>
      <c r="C13" s="45"/>
      <c r="D13" s="10">
        <f>D11*30%</f>
        <v>450</v>
      </c>
    </row>
    <row r="14" spans="2:4" ht="15" thickBot="1" x14ac:dyDescent="0.35"/>
    <row r="15" spans="2:4" ht="28.5" customHeight="1" x14ac:dyDescent="0.3">
      <c r="B15" s="46" t="s">
        <v>0</v>
      </c>
      <c r="C15" s="47"/>
      <c r="D15" s="48"/>
    </row>
    <row r="16" spans="2:4" ht="19.2" x14ac:dyDescent="0.45">
      <c r="B16" s="40" t="s">
        <v>22</v>
      </c>
      <c r="C16" s="41"/>
      <c r="D16" s="12">
        <v>350</v>
      </c>
    </row>
    <row r="17" spans="1:6" ht="19.2" x14ac:dyDescent="0.45">
      <c r="B17" s="42" t="s">
        <v>34</v>
      </c>
      <c r="C17" s="43"/>
      <c r="D17" s="13">
        <v>12</v>
      </c>
    </row>
    <row r="18" spans="1:6" ht="19.2" x14ac:dyDescent="0.45">
      <c r="B18" s="42" t="s">
        <v>23</v>
      </c>
      <c r="C18" s="43"/>
      <c r="D18" s="9">
        <v>1.0789999999999999E-2</v>
      </c>
    </row>
    <row r="19" spans="1:6" ht="19.2" x14ac:dyDescent="0.45">
      <c r="B19" s="42" t="s">
        <v>24</v>
      </c>
      <c r="C19" s="43"/>
      <c r="D19" s="14">
        <f>FV(taxa_mensal,qtd_anos*12,aporte*-1)</f>
        <v>119694.87581233705</v>
      </c>
    </row>
    <row r="20" spans="1:6" ht="19.8" thickBot="1" x14ac:dyDescent="0.5">
      <c r="B20" s="44" t="s">
        <v>25</v>
      </c>
      <c r="C20" s="45"/>
      <c r="D20" s="15">
        <f>patrimonio*rendimento_carteira</f>
        <v>957.55900649869636</v>
      </c>
      <c r="F20" s="2"/>
    </row>
    <row r="21" spans="1:6" ht="15" thickBot="1" x14ac:dyDescent="0.35"/>
    <row r="22" spans="1:6" ht="27" x14ac:dyDescent="0.3">
      <c r="B22" s="38" t="s">
        <v>1</v>
      </c>
      <c r="C22" s="39"/>
      <c r="D22" s="54" t="s">
        <v>2</v>
      </c>
    </row>
    <row r="23" spans="1:6" ht="19.2" x14ac:dyDescent="0.45">
      <c r="A23" s="1">
        <v>2</v>
      </c>
      <c r="B23" s="22" t="s">
        <v>26</v>
      </c>
      <c r="C23" s="16">
        <f>FV($D$18,$A23*12,$D$16*-1)</f>
        <v>9529.6695541758254</v>
      </c>
      <c r="D23" s="17">
        <f>C23*rendimento_carteira</f>
        <v>76.237356433406603</v>
      </c>
    </row>
    <row r="24" spans="1:6" ht="19.2" x14ac:dyDescent="0.45">
      <c r="A24" s="1">
        <v>5</v>
      </c>
      <c r="B24" s="23" t="s">
        <v>27</v>
      </c>
      <c r="C24" s="18">
        <f>FV($D$18,$A24*12,$D$16*-1)</f>
        <v>29321.919899470675</v>
      </c>
      <c r="D24" s="19">
        <f>C24*rendimento_carteira</f>
        <v>234.5753591957654</v>
      </c>
    </row>
    <row r="25" spans="1:6" ht="19.2" x14ac:dyDescent="0.45">
      <c r="A25" s="1">
        <v>10</v>
      </c>
      <c r="B25" s="23" t="s">
        <v>28</v>
      </c>
      <c r="C25" s="18">
        <f>FV($D$18,$A25*12,$D$16*-1)</f>
        <v>85149.474385560272</v>
      </c>
      <c r="D25" s="19">
        <f>C25*rendimento_carteira</f>
        <v>681.19579508448214</v>
      </c>
    </row>
    <row r="26" spans="1:6" ht="19.2" x14ac:dyDescent="0.45">
      <c r="A26" s="1">
        <v>20</v>
      </c>
      <c r="B26" s="23" t="s">
        <v>29</v>
      </c>
      <c r="C26" s="18">
        <f>FV($D$18,$A26*12,$D$16*-1)</f>
        <v>393819.4400339782</v>
      </c>
      <c r="D26" s="19">
        <f>C26*rendimento_carteira</f>
        <v>3150.5555202718256</v>
      </c>
    </row>
    <row r="27" spans="1:6" ht="19.8" thickBot="1" x14ac:dyDescent="0.5">
      <c r="A27" s="1">
        <v>30</v>
      </c>
      <c r="B27" s="24" t="s">
        <v>30</v>
      </c>
      <c r="C27" s="20">
        <f>FV($D$18,$A27*12,$D$16*-1)</f>
        <v>1512759.3792516501</v>
      </c>
      <c r="D27" s="21">
        <f>C27*rendimento_carteira</f>
        <v>12102.0750340132</v>
      </c>
    </row>
    <row r="29" spans="1:6" s="51" customFormat="1" x14ac:dyDescent="0.3"/>
    <row r="30" spans="1:6" ht="15" thickBot="1" x14ac:dyDescent="0.35">
      <c r="C30" s="52" t="s">
        <v>33</v>
      </c>
    </row>
    <row r="31" spans="1:6" ht="27" x14ac:dyDescent="0.3">
      <c r="B31" s="7" t="s">
        <v>8</v>
      </c>
      <c r="C31" s="7" t="s">
        <v>5</v>
      </c>
    </row>
    <row r="32" spans="1:6" x14ac:dyDescent="0.3">
      <c r="B32" s="3" t="s">
        <v>31</v>
      </c>
      <c r="C32" s="4">
        <f>aporte</f>
        <v>350</v>
      </c>
    </row>
    <row r="33" spans="2:4" ht="15" thickBot="1" x14ac:dyDescent="0.35"/>
    <row r="34" spans="2:4" ht="27" x14ac:dyDescent="0.3">
      <c r="B34" s="7" t="s">
        <v>9</v>
      </c>
      <c r="C34" s="7" t="s">
        <v>10</v>
      </c>
      <c r="D34" s="7" t="s">
        <v>11</v>
      </c>
    </row>
    <row r="35" spans="2:4" ht="19.2" x14ac:dyDescent="0.45">
      <c r="B35" s="11" t="s">
        <v>12</v>
      </c>
      <c r="C35" s="53">
        <f>VLOOKUP($C$31&amp;"-"&amp;B35,tbl_FII!$B:$E,4,FALSE)</f>
        <v>0.3</v>
      </c>
      <c r="D35" s="50">
        <f t="shared" ref="D35:D40" si="0">C35*$C$32</f>
        <v>105</v>
      </c>
    </row>
    <row r="36" spans="2:4" ht="19.2" x14ac:dyDescent="0.45">
      <c r="B36" s="11" t="s">
        <v>13</v>
      </c>
      <c r="C36" s="53">
        <f>VLOOKUP($C$31&amp;"-"&amp;B36,tbl_FII!$B:$E,4,FALSE)</f>
        <v>0.5</v>
      </c>
      <c r="D36" s="50">
        <f t="shared" si="0"/>
        <v>175</v>
      </c>
    </row>
    <row r="37" spans="2:4" ht="19.2" x14ac:dyDescent="0.45">
      <c r="B37" s="11" t="s">
        <v>14</v>
      </c>
      <c r="C37" s="53">
        <f>VLOOKUP($C$31&amp;"-"&amp;B37,tbl_FII!$B:$E,4,FALSE)</f>
        <v>0.1</v>
      </c>
      <c r="D37" s="50">
        <f t="shared" si="0"/>
        <v>35</v>
      </c>
    </row>
    <row r="38" spans="2:4" ht="19.2" x14ac:dyDescent="0.45">
      <c r="B38" s="11" t="s">
        <v>15</v>
      </c>
      <c r="C38" s="53">
        <f>VLOOKUP($C$31&amp;"-"&amp;B38,tbl_FII!$B:$E,4,FALSE)</f>
        <v>0.1</v>
      </c>
      <c r="D38" s="50">
        <f t="shared" si="0"/>
        <v>35</v>
      </c>
    </row>
    <row r="39" spans="2:4" ht="19.2" x14ac:dyDescent="0.45">
      <c r="B39" s="11" t="s">
        <v>16</v>
      </c>
      <c r="C39" s="53">
        <f>VLOOKUP($C$31&amp;"-"&amp;B39,tbl_FII!$B:$E,4,FALSE)</f>
        <v>0</v>
      </c>
      <c r="D39" s="50">
        <f t="shared" si="0"/>
        <v>0</v>
      </c>
    </row>
    <row r="40" spans="2:4" ht="19.2" x14ac:dyDescent="0.45">
      <c r="B40" s="11" t="s">
        <v>17</v>
      </c>
      <c r="C40" s="53">
        <f>VLOOKUP($C$31&amp;"-"&amp;B40,tbl_FII!$B:$E,4,FALSE)</f>
        <v>0</v>
      </c>
      <c r="D40" s="50">
        <f t="shared" si="0"/>
        <v>0</v>
      </c>
    </row>
    <row r="41" spans="2:4" x14ac:dyDescent="0.3">
      <c r="B41" s="5"/>
      <c r="C41" s="5"/>
      <c r="D41" s="28">
        <f>SUM(D35:D40)</f>
        <v>350</v>
      </c>
    </row>
  </sheetData>
  <mergeCells count="11">
    <mergeCell ref="B10:D10"/>
    <mergeCell ref="B11:C11"/>
    <mergeCell ref="B12:C12"/>
    <mergeCell ref="B13:C13"/>
    <mergeCell ref="B19:C19"/>
    <mergeCell ref="B15:D15"/>
    <mergeCell ref="B22:C22"/>
    <mergeCell ref="B16:C16"/>
    <mergeCell ref="B17:C17"/>
    <mergeCell ref="B18:C18"/>
    <mergeCell ref="B20:C20"/>
  </mergeCells>
  <dataValidations count="1">
    <dataValidation type="list" allowBlank="1" showInputMessage="1" showErrorMessage="1" sqref="C31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B2:I21"/>
  <sheetViews>
    <sheetView showGridLines="0" zoomScale="115" zoomScaleNormal="115" workbookViewId="0">
      <selection activeCell="G5" sqref="G5"/>
    </sheetView>
  </sheetViews>
  <sheetFormatPr defaultRowHeight="14.4" x14ac:dyDescent="0.3"/>
  <cols>
    <col min="2" max="2" width="29.21875" bestFit="1" customWidth="1"/>
    <col min="3" max="3" width="11.5546875" bestFit="1" customWidth="1"/>
    <col min="4" max="4" width="17.77734375" bestFit="1" customWidth="1"/>
    <col min="8" max="8" width="15.33203125" hidden="1" customWidth="1"/>
    <col min="9" max="9" width="0" hidden="1" customWidth="1"/>
  </cols>
  <sheetData>
    <row r="2" spans="2:9" x14ac:dyDescent="0.3">
      <c r="B2" s="1" t="s">
        <v>19</v>
      </c>
      <c r="C2" s="1" t="s">
        <v>8</v>
      </c>
      <c r="D2" s="26" t="s">
        <v>9</v>
      </c>
      <c r="E2" s="26" t="s">
        <v>18</v>
      </c>
    </row>
    <row r="3" spans="2:9" x14ac:dyDescent="0.3">
      <c r="B3" s="29" t="str">
        <f t="shared" ref="B3:B20" si="0">C3&amp;"-"&amp;D3</f>
        <v>Agressivo-PAPEL</v>
      </c>
      <c r="C3" s="29" t="s">
        <v>7</v>
      </c>
      <c r="D3" s="30" t="s">
        <v>12</v>
      </c>
      <c r="E3" s="31">
        <v>0.5</v>
      </c>
      <c r="H3" s="49" t="s">
        <v>18</v>
      </c>
      <c r="I3" s="49"/>
    </row>
    <row r="4" spans="2:9" x14ac:dyDescent="0.3">
      <c r="B4" s="29" t="str">
        <f t="shared" si="0"/>
        <v>Agressivo-TIJOLO</v>
      </c>
      <c r="C4" s="29" t="s">
        <v>7</v>
      </c>
      <c r="D4" s="30" t="s">
        <v>13</v>
      </c>
      <c r="E4" s="31">
        <v>0.1</v>
      </c>
      <c r="H4" s="6" t="s">
        <v>20</v>
      </c>
      <c r="I4" s="27">
        <f>VLOOKUP(H4,$B:$E,4,FALSE)</f>
        <v>0.35</v>
      </c>
    </row>
    <row r="5" spans="2:9" x14ac:dyDescent="0.3">
      <c r="B5" s="29" t="str">
        <f t="shared" si="0"/>
        <v>Agressivo-HÍBRIDOS</v>
      </c>
      <c r="C5" s="29" t="s">
        <v>7</v>
      </c>
      <c r="D5" s="30" t="s">
        <v>14</v>
      </c>
      <c r="E5" s="31">
        <v>0.05</v>
      </c>
    </row>
    <row r="6" spans="2:9" x14ac:dyDescent="0.3">
      <c r="B6" s="29" t="str">
        <f t="shared" si="0"/>
        <v>Agressivo-FOFs</v>
      </c>
      <c r="C6" s="29" t="s">
        <v>7</v>
      </c>
      <c r="D6" s="30" t="s">
        <v>15</v>
      </c>
      <c r="E6" s="31">
        <v>0.05</v>
      </c>
    </row>
    <row r="7" spans="2:9" x14ac:dyDescent="0.3">
      <c r="B7" s="29" t="str">
        <f t="shared" si="0"/>
        <v>Agressivo-DESENVOLVIMENTO</v>
      </c>
      <c r="C7" s="29" t="s">
        <v>7</v>
      </c>
      <c r="D7" s="30" t="s">
        <v>16</v>
      </c>
      <c r="E7" s="31">
        <v>0.2</v>
      </c>
    </row>
    <row r="8" spans="2:9" x14ac:dyDescent="0.3">
      <c r="B8" s="29" t="str">
        <f t="shared" si="0"/>
        <v>Agressivo-HOTELARIAS</v>
      </c>
      <c r="C8" s="29" t="s">
        <v>7</v>
      </c>
      <c r="D8" s="30" t="s">
        <v>17</v>
      </c>
      <c r="E8" s="31">
        <v>0.1</v>
      </c>
    </row>
    <row r="9" spans="2:9" x14ac:dyDescent="0.3">
      <c r="B9" s="32" t="str">
        <f t="shared" si="0"/>
        <v>Conservador-PAPEL</v>
      </c>
      <c r="C9" s="32" t="s">
        <v>5</v>
      </c>
      <c r="D9" s="33" t="s">
        <v>12</v>
      </c>
      <c r="E9" s="34">
        <v>0.3</v>
      </c>
    </row>
    <row r="10" spans="2:9" x14ac:dyDescent="0.3">
      <c r="B10" s="32" t="str">
        <f t="shared" si="0"/>
        <v>Conservador-TIJOLO</v>
      </c>
      <c r="C10" s="32" t="s">
        <v>5</v>
      </c>
      <c r="D10" s="33" t="s">
        <v>13</v>
      </c>
      <c r="E10" s="34">
        <v>0.5</v>
      </c>
    </row>
    <row r="11" spans="2:9" x14ac:dyDescent="0.3">
      <c r="B11" s="32" t="str">
        <f t="shared" si="0"/>
        <v>Conservador-HÍBRIDOS</v>
      </c>
      <c r="C11" s="32" t="s">
        <v>5</v>
      </c>
      <c r="D11" s="33" t="s">
        <v>14</v>
      </c>
      <c r="E11" s="34">
        <v>0.1</v>
      </c>
    </row>
    <row r="12" spans="2:9" x14ac:dyDescent="0.3">
      <c r="B12" s="32" t="str">
        <f t="shared" si="0"/>
        <v>Conservador-FOFs</v>
      </c>
      <c r="C12" s="32" t="s">
        <v>5</v>
      </c>
      <c r="D12" s="33" t="s">
        <v>15</v>
      </c>
      <c r="E12" s="34">
        <v>0.1</v>
      </c>
    </row>
    <row r="13" spans="2:9" x14ac:dyDescent="0.3">
      <c r="B13" s="32" t="str">
        <f t="shared" si="0"/>
        <v>Conservador-DESENVOLVIMENTO</v>
      </c>
      <c r="C13" s="32" t="s">
        <v>5</v>
      </c>
      <c r="D13" s="33" t="s">
        <v>16</v>
      </c>
      <c r="E13" s="34">
        <v>0</v>
      </c>
    </row>
    <row r="14" spans="2:9" x14ac:dyDescent="0.3">
      <c r="B14" s="32" t="str">
        <f t="shared" si="0"/>
        <v>Conservador-HOTELARIAS</v>
      </c>
      <c r="C14" s="32" t="s">
        <v>5</v>
      </c>
      <c r="D14" s="33" t="s">
        <v>17</v>
      </c>
      <c r="E14" s="34">
        <v>0</v>
      </c>
    </row>
    <row r="15" spans="2:9" x14ac:dyDescent="0.3">
      <c r="B15" s="35" t="str">
        <f t="shared" si="0"/>
        <v>Moderado-PAPEL</v>
      </c>
      <c r="C15" s="35" t="s">
        <v>6</v>
      </c>
      <c r="D15" s="36" t="s">
        <v>12</v>
      </c>
      <c r="E15" s="37">
        <v>0.32</v>
      </c>
    </row>
    <row r="16" spans="2:9" x14ac:dyDescent="0.3">
      <c r="B16" s="35" t="str">
        <f t="shared" si="0"/>
        <v>Moderado-TIJOLO</v>
      </c>
      <c r="C16" s="35" t="s">
        <v>6</v>
      </c>
      <c r="D16" s="36" t="s">
        <v>13</v>
      </c>
      <c r="E16" s="37">
        <v>0.35</v>
      </c>
    </row>
    <row r="17" spans="2:5" x14ac:dyDescent="0.3">
      <c r="B17" s="35" t="str">
        <f t="shared" si="0"/>
        <v>Moderado-HÍBRIDOS</v>
      </c>
      <c r="C17" s="35" t="s">
        <v>6</v>
      </c>
      <c r="D17" s="36" t="s">
        <v>14</v>
      </c>
      <c r="E17" s="37">
        <v>0.08</v>
      </c>
    </row>
    <row r="18" spans="2:5" x14ac:dyDescent="0.3">
      <c r="B18" s="35" t="str">
        <f t="shared" si="0"/>
        <v>Moderado-FOFs</v>
      </c>
      <c r="C18" s="35" t="s">
        <v>6</v>
      </c>
      <c r="D18" s="36" t="s">
        <v>15</v>
      </c>
      <c r="E18" s="37">
        <v>0.05</v>
      </c>
    </row>
    <row r="19" spans="2:5" x14ac:dyDescent="0.3">
      <c r="B19" s="35" t="str">
        <f t="shared" si="0"/>
        <v>Moderado-DESENVOLVIMENTO</v>
      </c>
      <c r="C19" s="35" t="s">
        <v>6</v>
      </c>
      <c r="D19" s="36" t="s">
        <v>16</v>
      </c>
      <c r="E19" s="37">
        <v>0.1</v>
      </c>
    </row>
    <row r="20" spans="2:5" x14ac:dyDescent="0.3">
      <c r="B20" s="35" t="str">
        <f t="shared" si="0"/>
        <v>Moderado-HOTELARIAS</v>
      </c>
      <c r="C20" s="35" t="s">
        <v>6</v>
      </c>
      <c r="D20" s="36" t="s">
        <v>17</v>
      </c>
      <c r="E20" s="37">
        <v>0.1</v>
      </c>
    </row>
    <row r="21" spans="2:5" x14ac:dyDescent="0.3">
      <c r="E21" s="25"/>
    </row>
  </sheetData>
  <mergeCells count="1">
    <mergeCell ref="H3:I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base</vt:lpstr>
      <vt:lpstr>tbl_FII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Gabriele Nobre</cp:lastModifiedBy>
  <dcterms:created xsi:type="dcterms:W3CDTF">2025-04-16T18:38:03Z</dcterms:created>
  <dcterms:modified xsi:type="dcterms:W3CDTF">2026-02-15T17:16:53Z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